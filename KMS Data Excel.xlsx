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MS-MBA-CONSULT\"/>
    </mc:Choice>
  </mc:AlternateContent>
  <xr:revisionPtr revIDLastSave="0" documentId="8_{EBDD381E-EEA6-40FC-B021-437A0DF58CAF}" xr6:coauthVersionLast="47" xr6:coauthVersionMax="47" xr10:uidLastSave="{00000000-0000-0000-0000-000000000000}"/>
  <bookViews>
    <workbookView xWindow="-120" yWindow="-120" windowWidth="20730" windowHeight="11160" xr2:uid="{4CD490F8-0E51-4381-92F9-9C64E00F9764}"/>
  </bookViews>
  <sheets>
    <sheet name="Feuil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B4" i="1"/>
  <c r="B3" i="1"/>
  <c r="B2" i="1"/>
</calcChain>
</file>

<file path=xl/sharedStrings.xml><?xml version="1.0" encoding="utf-8"?>
<sst xmlns="http://schemas.openxmlformats.org/spreadsheetml/2006/main" count="14" uniqueCount="14">
  <si>
    <t>Indicateur</t>
  </si>
  <si>
    <t>Valeur</t>
  </si>
  <si>
    <t>Description (Optionnel)</t>
  </si>
  <si>
    <t>W_MSHOP</t>
  </si>
  <si>
    <t>Poids du Machine Shop (64%)</t>
  </si>
  <si>
    <t>W_DSALES</t>
  </si>
  <si>
    <t>Poids de D.Sales (19%)</t>
  </si>
  <si>
    <t>SEUIL_CAPEX</t>
  </si>
  <si>
    <t>Seuil de rentabilité minimum (14.1%)</t>
  </si>
  <si>
    <t>INF_ACIER</t>
  </si>
  <si>
    <t>0.12</t>
  </si>
  <si>
    <t>Taux d'inflation estimé de l'acier (12%)</t>
  </si>
  <si>
    <t>W_MAIN</t>
  </si>
  <si>
    <t>Poids de la Maintenance (17%)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</si>
</sst>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GMPI/Copy%20of%20ANALYSE%20COMMERCIALE%20V7%2006-04-2026%20VERSION-%2002(R&#233;cup&#233;ration%20automatique)(R&#233;cup&#233;ration%20automatique).xlsm" TargetMode="External"/><Relationship Id="rId2" Type="http://schemas.openxmlformats.org/officeDocument/2006/relationships/externalLinkPath" Target="file:///C:\Users\User\Desktop\GMPI\Copy%20of%20ANALYSE%20COMMERCIALE%20V7%2006-04-2026%20VERSION-%2002(R&#233;cup&#233;ration%20automatique)(R&#233;cup&#233;ration%20automatique).xlsm" TargetMode="External"/><Relationship Id="rId1" Type="http://schemas.openxmlformats.org/officeDocument/2006/relationships/externalLinkPath" Target="/Users/User/Desktop/GMPI/Copy%20of%20ANALYSE%20COMMERCIALE%20V7%2006-04-2026%20VERSION-%2002(R&#233;cup&#233;ration%20automatique)(R&#233;cup&#233;ration%20automatique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mercialAnalysis"/>
      <sheetName val="P1"/>
      <sheetName val="CA"/>
      <sheetName val="ENI-Contract Analysis"/>
      <sheetName val="NL+NF2025-2026"/>
      <sheetName val="Coord PP &amp; PC"/>
      <sheetName val="code clignotement"/>
      <sheetName val="PLANNING  HEBDOMADAIRE"/>
      <sheetName val="Sheet9"/>
      <sheetName val="Sheet1"/>
      <sheetName val="Sheet8"/>
      <sheetName val="Sheet3"/>
      <sheetName val="ENI-2023"/>
      <sheetName val="ENI-2023-2024+2025"/>
      <sheetName val="BL-ENI-24-25"/>
      <sheetName val="ENI-2025"/>
      <sheetName val="BL -ENI-2023"/>
      <sheetName val="PlanningTOTAL"/>
      <sheetName val="PLANNING AUDIT 2025"/>
      <sheetName val="OFLIV"/>
      <sheetName val="Planning 3ème trimestre 2025"/>
      <sheetName val="SUIVI AV PROD"/>
      <sheetName val="TABLEAU DE CHARGE CMT"/>
      <sheetName val="A"/>
    </sheetNames>
    <sheetDataSet>
      <sheetData sheetId="0"/>
      <sheetData sheetId="1"/>
      <sheetData sheetId="2">
        <row r="3798">
          <cell r="AB3798">
            <v>0.16864638933931589</v>
          </cell>
        </row>
        <row r="3799">
          <cell r="AB3799">
            <v>0.64188059042231838</v>
          </cell>
        </row>
        <row r="3800">
          <cell r="AB3800">
            <v>0.18947302023836574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AB119-A9CA-48C9-BA03-7F5440F22AFE}">
  <dimension ref="A1:E6"/>
  <sheetViews>
    <sheetView tabSelected="1" workbookViewId="0">
      <selection activeCell="B2" sqref="B2"/>
    </sheetView>
  </sheetViews>
  <sheetFormatPr baseColWidth="10" defaultRowHeight="15" x14ac:dyDescent="0.25"/>
  <cols>
    <col min="1" max="1" width="20.85546875" customWidth="1"/>
    <col min="2" max="2" width="20.5703125" customWidth="1"/>
    <col min="3" max="3" width="27.5703125" customWidth="1"/>
  </cols>
  <sheetData>
    <row r="1" spans="1:5" ht="60.75" thickBot="1" x14ac:dyDescent="0.3">
      <c r="A1" s="2" t="s">
        <v>0</v>
      </c>
      <c r="B1" s="2" t="s">
        <v>1</v>
      </c>
      <c r="C1" s="2" t="s">
        <v>2</v>
      </c>
      <c r="D1" s="1"/>
      <c r="E1" s="1"/>
    </row>
    <row r="2" spans="1:5" ht="29.25" thickBot="1" x14ac:dyDescent="0.3">
      <c r="A2" s="2" t="s">
        <v>3</v>
      </c>
      <c r="B2" s="4">
        <f>[1]CA!$AB$3799</f>
        <v>0.64188059042231838</v>
      </c>
      <c r="C2" s="3" t="s">
        <v>4</v>
      </c>
      <c r="D2" s="1"/>
      <c r="E2" s="1"/>
    </row>
    <row r="3" spans="1:5" ht="15.75" thickBot="1" x14ac:dyDescent="0.3">
      <c r="A3" s="2" t="s">
        <v>5</v>
      </c>
      <c r="B3" s="4">
        <f>[1]CA!$AB$3800</f>
        <v>0.18947302023836574</v>
      </c>
      <c r="C3" s="3" t="s">
        <v>6</v>
      </c>
      <c r="D3" s="1"/>
      <c r="E3" s="1"/>
    </row>
    <row r="4" spans="1:5" ht="29.25" thickBot="1" x14ac:dyDescent="0.3">
      <c r="A4" s="2" t="s">
        <v>12</v>
      </c>
      <c r="B4" s="4">
        <f>[1]CA!$AB$3798</f>
        <v>0.16864638933931589</v>
      </c>
      <c r="C4" s="3" t="s">
        <v>13</v>
      </c>
      <c r="D4" s="1"/>
      <c r="E4" s="1"/>
    </row>
    <row r="5" spans="1:5" ht="29.25" thickBot="1" x14ac:dyDescent="0.3">
      <c r="A5" s="2" t="s">
        <v>7</v>
      </c>
      <c r="B5" s="4">
        <f>22%*B2</f>
        <v>0.14121372989291003</v>
      </c>
      <c r="C5" s="3" t="s">
        <v>8</v>
      </c>
      <c r="D5" s="1"/>
      <c r="E5" s="1"/>
    </row>
    <row r="6" spans="1:5" ht="29.25" thickBot="1" x14ac:dyDescent="0.3">
      <c r="A6" s="2" t="s">
        <v>9</v>
      </c>
      <c r="B6" s="5" t="s">
        <v>10</v>
      </c>
      <c r="C6" s="3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 ba</dc:creator>
  <cp:lastModifiedBy>mad ba</cp:lastModifiedBy>
  <dcterms:created xsi:type="dcterms:W3CDTF">2026-04-07T16:13:50Z</dcterms:created>
  <dcterms:modified xsi:type="dcterms:W3CDTF">2026-04-07T16:28:32Z</dcterms:modified>
</cp:coreProperties>
</file>